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Company Portal" sheetId="2" r:id="rId6"/>
    <sheet state="visible" name="VroomVroom.com" sheetId="3" r:id="rId7"/>
  </sheets>
  <definedNames/>
  <calcPr/>
</workbook>
</file>

<file path=xl/sharedStrings.xml><?xml version="1.0" encoding="utf-8"?>
<sst xmlns="http://schemas.openxmlformats.org/spreadsheetml/2006/main" count="92" uniqueCount="61">
  <si>
    <r>
      <rPr>
        <rFont val="Arial"/>
        <b/>
        <color theme="1"/>
      </rPr>
      <t xml:space="preserve">OSI Layer 8 Problems = </t>
    </r>
    <r>
      <rPr>
        <rFont val="Arial"/>
        <b val="0"/>
        <color theme="1"/>
      </rPr>
      <t>Usually Training, User Friendly Designs, or Call the Police</t>
    </r>
  </si>
  <si>
    <t>Customers</t>
  </si>
  <si>
    <t>Event Networkers</t>
  </si>
  <si>
    <t>Managers</t>
  </si>
  <si>
    <t>Delivery Team</t>
  </si>
  <si>
    <t>TL;DR: Just align your calculations to the audience. This method of organization is closer to FAIR, while Data Centers would use Component Heat Maps</t>
  </si>
  <si>
    <t>Company Risk Score</t>
  </si>
  <si>
    <t>Company Portal</t>
  </si>
  <si>
    <t>E-mail</t>
  </si>
  <si>
    <t>VOIP</t>
  </si>
  <si>
    <t>Cell</t>
  </si>
  <si>
    <t xml:space="preserve">  VroomVroom.com</t>
  </si>
  <si>
    <t xml:space="preserve">  Cisco</t>
  </si>
  <si>
    <t xml:space="preserve">  Android</t>
  </si>
  <si>
    <t xml:space="preserve">  sub.vroom.com</t>
  </si>
  <si>
    <t xml:space="preserve">  Apple.. eww</t>
  </si>
  <si>
    <t xml:space="preserve">  UseToBeVroom.com</t>
  </si>
  <si>
    <t>VroomVroom.com</t>
  </si>
  <si>
    <t>Web Foot Traffic</t>
  </si>
  <si>
    <t>Daily Revenue</t>
  </si>
  <si>
    <t>$200K</t>
  </si>
  <si>
    <t>Dev</t>
  </si>
  <si>
    <t>Azure VM Runner</t>
  </si>
  <si>
    <t>Java Code</t>
  </si>
  <si>
    <t>GitLab Repo</t>
  </si>
  <si>
    <t>AI Chatbot</t>
  </si>
  <si>
    <t>Test</t>
  </si>
  <si>
    <t>Prod</t>
  </si>
  <si>
    <t>Note: Just only doing one calculation, but showing that not all cases are the same.</t>
  </si>
  <si>
    <t>*</t>
  </si>
  <si>
    <t>sub.vroom.com</t>
  </si>
  <si>
    <t>$20K</t>
  </si>
  <si>
    <t>On-Prem Runner</t>
  </si>
  <si>
    <t>UseToBeVroom.com</t>
  </si>
  <si>
    <t>$1K</t>
  </si>
  <si>
    <t>DNS Redirect</t>
  </si>
  <si>
    <t>Warning: Not for the technically faint hearted. Risk calculation is scoped to what the Product needs into order to securely deploy and assess risk</t>
  </si>
  <si>
    <t>Dev Environment</t>
  </si>
  <si>
    <t>Subscription</t>
  </si>
  <si>
    <t>Resource Group</t>
  </si>
  <si>
    <t>VM</t>
  </si>
  <si>
    <t>NSG</t>
  </si>
  <si>
    <t>ASGs</t>
  </si>
  <si>
    <t>WAF</t>
  </si>
  <si>
    <t>Firewall</t>
  </si>
  <si>
    <t>Route Tables</t>
  </si>
  <si>
    <t>Front Door (Edge Deployer)</t>
  </si>
  <si>
    <t>Visual Studio</t>
  </si>
  <si>
    <t>Snyk (SCA/SAST)</t>
  </si>
  <si>
    <t>GitLab</t>
  </si>
  <si>
    <t xml:space="preserve">Selenium </t>
  </si>
  <si>
    <t>DAST</t>
  </si>
  <si>
    <t>Data Factory</t>
  </si>
  <si>
    <t>AI/ML</t>
  </si>
  <si>
    <t>Grafana</t>
  </si>
  <si>
    <t>Laptop (Dev Build)</t>
  </si>
  <si>
    <t>Okta</t>
  </si>
  <si>
    <t>Yubi Key</t>
  </si>
  <si>
    <t>Test Environment</t>
  </si>
  <si>
    <t>...</t>
  </si>
  <si>
    <t>Prod Environment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</si>
</sst>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</font>
    <font/>
    <font>
      <b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" numFmtId="4" xfId="0" applyAlignment="1" applyFont="1" applyNumberFormat="1">
      <alignment horizont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4" xfId="0" applyAlignment="1" applyFont="1" applyNumberFormat="1">
      <alignment readingOrder="0"/>
    </xf>
    <xf borderId="0" fillId="0" fontId="2" numFmtId="4" xfId="0" applyFont="1" applyNumberForma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vroom.com/" TargetMode="External"/><Relationship Id="rId2" Type="http://schemas.openxmlformats.org/officeDocument/2006/relationships/hyperlink" Target="http://vroom.com/" TargetMode="External"/><Relationship Id="rId3" Type="http://schemas.openxmlformats.org/officeDocument/2006/relationships/hyperlink" Target="http://sub.vroom.com" TargetMode="External"/><Relationship Id="rId4" Type="http://schemas.openxmlformats.org/officeDocument/2006/relationships/hyperlink" Target="http://sub.vroom.com" TargetMode="External"/><Relationship Id="rId5" Type="http://schemas.openxmlformats.org/officeDocument/2006/relationships/hyperlink" Target="http://usetobevroom.com" TargetMode="External"/><Relationship Id="rId6" Type="http://schemas.openxmlformats.org/officeDocument/2006/relationships/hyperlink" Target="http://usetobevroom.com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vroom.com/" TargetMode="External"/><Relationship Id="rId2" Type="http://schemas.openxmlformats.org/officeDocument/2006/relationships/hyperlink" Target="http://sub.vroom.com/" TargetMode="External"/><Relationship Id="rId3" Type="http://schemas.openxmlformats.org/officeDocument/2006/relationships/hyperlink" Target="http://usetobevroom.com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8.0"/>
    <col customWidth="1" min="4" max="4" width="16.63"/>
  </cols>
  <sheetData>
    <row r="2">
      <c r="A2" s="1" t="s">
        <v>0</v>
      </c>
      <c r="B2" s="2"/>
      <c r="C2" s="2"/>
      <c r="D2" s="3"/>
    </row>
    <row r="3">
      <c r="A3" s="4"/>
      <c r="B3" s="5"/>
      <c r="C3" s="5"/>
      <c r="D3" s="6"/>
    </row>
    <row r="4">
      <c r="A4" s="7" t="s">
        <v>1</v>
      </c>
      <c r="B4" s="8" t="s">
        <v>2</v>
      </c>
      <c r="C4" s="8" t="s">
        <v>3</v>
      </c>
      <c r="D4" s="9" t="s">
        <v>4</v>
      </c>
    </row>
    <row r="7">
      <c r="A7" s="10" t="s">
        <v>5</v>
      </c>
    </row>
    <row r="10">
      <c r="A10" s="5" t="s">
        <v>6</v>
      </c>
      <c r="B10" s="5" t="s">
        <v>7</v>
      </c>
      <c r="D10" s="5" t="s">
        <v>8</v>
      </c>
      <c r="F10" s="5" t="s">
        <v>9</v>
      </c>
      <c r="H10" s="5" t="s">
        <v>10</v>
      </c>
    </row>
    <row r="11">
      <c r="A11" s="11">
        <f>SUM('Company Portal'!A8:A10)/'Company Portal'!H2</f>
        <v>78.63888889</v>
      </c>
      <c r="B11" s="12" t="s">
        <v>11</v>
      </c>
      <c r="D11" s="12" t="s">
        <v>11</v>
      </c>
      <c r="F11" s="5" t="s">
        <v>12</v>
      </c>
      <c r="H11" s="5" t="s">
        <v>13</v>
      </c>
    </row>
    <row r="12">
      <c r="A12" s="13"/>
      <c r="B12" s="14" t="s">
        <v>14</v>
      </c>
      <c r="D12" s="14" t="s">
        <v>14</v>
      </c>
      <c r="H12" s="5" t="s">
        <v>15</v>
      </c>
    </row>
    <row r="13">
      <c r="A13" s="13"/>
      <c r="B13" s="14" t="s">
        <v>16</v>
      </c>
      <c r="D13" s="14" t="s">
        <v>16</v>
      </c>
    </row>
  </sheetData>
  <hyperlinks>
    <hyperlink r:id="rId1" ref="B11"/>
    <hyperlink r:id="rId2" ref="D11"/>
    <hyperlink r:id="rId3" ref="B12"/>
    <hyperlink r:id="rId4" ref="D12"/>
    <hyperlink r:id="rId5" ref="B13"/>
    <hyperlink r:id="rId6" ref="D13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4.25"/>
    <col customWidth="1" min="5" max="5" width="15.25"/>
  </cols>
  <sheetData>
    <row r="2">
      <c r="A2" s="12" t="s">
        <v>17</v>
      </c>
      <c r="G2" s="5" t="s">
        <v>18</v>
      </c>
      <c r="H2" s="15">
        <v>0.75</v>
      </c>
      <c r="J2" s="5" t="s">
        <v>19</v>
      </c>
      <c r="K2" s="5" t="s">
        <v>20</v>
      </c>
    </row>
    <row r="3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</row>
    <row r="4">
      <c r="A4" s="5" t="s">
        <v>26</v>
      </c>
      <c r="B4" s="5" t="s">
        <v>22</v>
      </c>
      <c r="C4" s="5" t="s">
        <v>23</v>
      </c>
      <c r="D4" s="5" t="s">
        <v>24</v>
      </c>
      <c r="E4" s="5" t="s">
        <v>25</v>
      </c>
    </row>
    <row r="5">
      <c r="A5" s="5" t="s">
        <v>27</v>
      </c>
      <c r="B5" s="5" t="s">
        <v>22</v>
      </c>
      <c r="C5" s="5" t="s">
        <v>23</v>
      </c>
      <c r="D5" s="5" t="s">
        <v>24</v>
      </c>
      <c r="E5" s="5" t="s">
        <v>25</v>
      </c>
    </row>
    <row r="6">
      <c r="A6" s="16"/>
    </row>
    <row r="7">
      <c r="A7" s="16" t="s">
        <v>28</v>
      </c>
    </row>
    <row r="8">
      <c r="A8" s="17">
        <f>SUM(B8,C8,D8,E8)/(COUNT(B8,C8,D8,E8))</f>
        <v>58.97916667</v>
      </c>
      <c r="B8" s="18">
        <f>SUM(VroomVroom.com!A5,VroomVroom.com!B5,VroomVroom.com!C5,VroomVroom.com!D5,VroomVroom.com!E5,VroomVroom.com!F5,VroomVroom.com!G5,VroomVroom.com!H5,VroomVroom.com!I5)/COUNT(VroomVroom.com!A5,VroomVroom.com!B5,VroomVroom.com!C5,VroomVroom.com!D5,VroomVroom.com!E5,VroomVroom.com!F5,VroomVroom.com!G5,VroomVroom.com!H5,VroomVroom.com!I5)</f>
        <v>53.66666667</v>
      </c>
      <c r="C8" s="18">
        <f>sum(VroomVroom.com!A8,VroomVroom.com!B8,VroomVroom.com!E8, VroomVroom.com!I8)/ COUNT(VroomVroom.com!A8,VroomVroom.com!B8,VroomVroom.com!E8, VroomVroom.com!I8)</f>
        <v>77.75</v>
      </c>
      <c r="D8" s="18">
        <f>VroomVroom.com!C8</f>
        <v>50</v>
      </c>
      <c r="E8" s="18">
        <f>SUM(VroomVroom.com!D8,VroomVroom.com!F8,VroomVroom.com!G8,VroomVroom.com!H8)/COUNT(VroomVroom.com!D8,VroomVroom.com!F8,VroomVroom.com!G8,VroomVroom.com!H8)</f>
        <v>54.5</v>
      </c>
    </row>
    <row r="9">
      <c r="A9" s="19" t="s">
        <v>29</v>
      </c>
      <c r="B9" s="19" t="s">
        <v>29</v>
      </c>
      <c r="C9" s="19" t="s">
        <v>29</v>
      </c>
      <c r="D9" s="19" t="s">
        <v>29</v>
      </c>
      <c r="E9" s="19" t="s">
        <v>29</v>
      </c>
    </row>
    <row r="10">
      <c r="A10" s="19" t="s">
        <v>29</v>
      </c>
      <c r="B10" s="19" t="s">
        <v>29</v>
      </c>
      <c r="C10" s="19" t="s">
        <v>29</v>
      </c>
      <c r="D10" s="19" t="s">
        <v>29</v>
      </c>
      <c r="E10" s="19" t="s">
        <v>29</v>
      </c>
    </row>
    <row r="11">
      <c r="A11" s="19"/>
    </row>
    <row r="12">
      <c r="A12" s="12" t="s">
        <v>30</v>
      </c>
      <c r="G12" s="5" t="s">
        <v>18</v>
      </c>
      <c r="H12" s="15">
        <v>0.2</v>
      </c>
      <c r="J12" s="5" t="s">
        <v>19</v>
      </c>
      <c r="K12" s="5" t="s">
        <v>31</v>
      </c>
    </row>
    <row r="13">
      <c r="A13" s="5" t="s">
        <v>21</v>
      </c>
      <c r="B13" s="5" t="s">
        <v>32</v>
      </c>
    </row>
    <row r="14">
      <c r="A14" s="5" t="s">
        <v>26</v>
      </c>
      <c r="B14" s="5" t="s">
        <v>32</v>
      </c>
    </row>
    <row r="15">
      <c r="A15" s="5" t="s">
        <v>27</v>
      </c>
      <c r="B15" s="5" t="s">
        <v>32</v>
      </c>
    </row>
    <row r="17">
      <c r="A17" s="12" t="s">
        <v>33</v>
      </c>
      <c r="G17" s="5" t="s">
        <v>18</v>
      </c>
      <c r="H17" s="15">
        <v>0.05</v>
      </c>
      <c r="J17" s="5" t="s">
        <v>19</v>
      </c>
      <c r="K17" s="5" t="s">
        <v>34</v>
      </c>
    </row>
    <row r="18">
      <c r="B18" s="5" t="s">
        <v>35</v>
      </c>
    </row>
  </sheetData>
  <hyperlinks>
    <hyperlink r:id="rId1" ref="A2"/>
    <hyperlink r:id="rId2" ref="A12"/>
    <hyperlink r:id="rId3" ref="A17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38"/>
  </cols>
  <sheetData>
    <row r="1">
      <c r="A1" s="10" t="s">
        <v>36</v>
      </c>
    </row>
    <row r="3">
      <c r="A3" s="10" t="s">
        <v>37</v>
      </c>
    </row>
    <row r="4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</row>
    <row r="5">
      <c r="A5" s="5">
        <v>33.0</v>
      </c>
      <c r="B5" s="5">
        <v>100.0</v>
      </c>
      <c r="C5" s="5">
        <v>50.0</v>
      </c>
      <c r="D5" s="5">
        <v>75.0</v>
      </c>
      <c r="E5" s="5">
        <v>0.0</v>
      </c>
      <c r="F5" s="5">
        <v>0.0</v>
      </c>
      <c r="G5" s="5">
        <v>100.0</v>
      </c>
      <c r="H5" s="5">
        <v>25.0</v>
      </c>
      <c r="I5" s="5">
        <v>100.0</v>
      </c>
    </row>
    <row r="7">
      <c r="A7" s="5" t="s">
        <v>47</v>
      </c>
      <c r="B7" s="5" t="s">
        <v>48</v>
      </c>
      <c r="C7" s="5" t="s">
        <v>49</v>
      </c>
      <c r="D7" s="5" t="s">
        <v>50</v>
      </c>
      <c r="E7" s="5" t="s">
        <v>51</v>
      </c>
      <c r="F7" s="5" t="s">
        <v>52</v>
      </c>
      <c r="G7" s="5" t="s">
        <v>53</v>
      </c>
      <c r="H7" s="5" t="s">
        <v>40</v>
      </c>
      <c r="I7" s="5" t="s">
        <v>54</v>
      </c>
    </row>
    <row r="8">
      <c r="A8" s="5">
        <v>50.0</v>
      </c>
      <c r="B8" s="5">
        <v>95.0</v>
      </c>
      <c r="C8" s="5">
        <v>50.0</v>
      </c>
      <c r="D8" s="5">
        <v>100.0</v>
      </c>
      <c r="E8" s="5">
        <v>66.0</v>
      </c>
      <c r="F8" s="5">
        <v>33.0</v>
      </c>
      <c r="G8" s="5">
        <v>50.0</v>
      </c>
      <c r="H8" s="5">
        <v>35.0</v>
      </c>
      <c r="I8" s="5">
        <v>100.0</v>
      </c>
    </row>
    <row r="10">
      <c r="A10" s="5" t="s">
        <v>55</v>
      </c>
      <c r="B10" s="5" t="s">
        <v>56</v>
      </c>
      <c r="C10" s="5" t="s">
        <v>57</v>
      </c>
    </row>
    <row r="11">
      <c r="A11" s="5">
        <v>90.0</v>
      </c>
      <c r="B11" s="5">
        <v>80.0</v>
      </c>
      <c r="C11" s="5">
        <v>100.0</v>
      </c>
    </row>
    <row r="13">
      <c r="A13" s="10" t="s">
        <v>58</v>
      </c>
    </row>
    <row r="14">
      <c r="A14" s="5" t="s">
        <v>59</v>
      </c>
    </row>
    <row r="18">
      <c r="A18" s="10" t="s">
        <v>60</v>
      </c>
    </row>
    <row r="19">
      <c r="A19" s="5" t="s">
        <v>59</v>
      </c>
    </row>
  </sheetData>
  <drawing r:id="rId1"/>
</worksheet>
</file>